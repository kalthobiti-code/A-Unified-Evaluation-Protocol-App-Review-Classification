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500" firstSheet="0" activeTab="2" autoFilterDateGrouping="1"/>
  </bookViews>
  <sheets>
    <sheet xmlns:r="http://schemas.openxmlformats.org/officeDocument/2006/relationships" name="2. Performance (Table A)" sheetId="1" state="visible" r:id="rId1"/>
    <sheet xmlns:r="http://schemas.openxmlformats.org/officeDocument/2006/relationships" name="3. Variability (Table B)" sheetId="2" state="visible" r:id="rId2"/>
    <sheet xmlns:r="http://schemas.openxmlformats.org/officeDocument/2006/relationships" name="4. McNemar (Table C)" sheetId="3" state="visible" r:id="rId3"/>
    <sheet xmlns:r="http://schemas.openxmlformats.org/officeDocument/2006/relationships" name="5. Methodology Mapping" sheetId="4" state="visible" r:id="rId4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+0.0000;\-0.0000"/>
    <numFmt numFmtId="166" formatCode="0.0%"/>
  </numFmts>
  <fonts count="7">
    <font>
      <name val="Calibri"/>
      <charset val="1"/>
      <family val="2"/>
      <color theme="1"/>
      <sz val="11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family val="2"/>
      <b val="1"/>
      <sz val="12"/>
    </font>
    <font>
      <name val="Arial"/>
      <family val="2"/>
      <b val="1"/>
      <sz val="14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zoomScale="190" zoomScaleNormal="190" workbookViewId="0">
      <selection activeCell="B14" sqref="B14:E14"/>
    </sheetView>
  </sheetViews>
  <sheetFormatPr baseColWidth="8" defaultColWidth="8.6328125" defaultRowHeight="14.5"/>
  <cols>
    <col width="22" customWidth="1" min="1" max="1"/>
    <col width="26" customWidth="1" min="2" max="2"/>
    <col width="14" customWidth="1" min="3" max="5"/>
  </cols>
  <sheetData>
    <row r="1" ht="24" customHeight="1">
      <c r="A1" s="21" t="inlineStr">
        <is>
          <t>Table A — Cross-Dataset Descriptive Performance per Paradigm</t>
        </is>
      </c>
    </row>
    <row r="2">
      <c r="A2" s="3" t="inlineStr">
        <is>
          <t>Macro-F1 across F-Droid, CLAP, and Pan using the representative configurations used in the Error Analysis / Cross-Dataset Evaluation</t>
        </is>
      </c>
    </row>
    <row r="4">
      <c r="A4" s="4" t="inlineStr">
        <is>
          <t>Paradigm</t>
        </is>
      </c>
      <c r="B4" s="4" t="inlineStr">
        <is>
          <t>Configuration</t>
        </is>
      </c>
      <c r="C4" s="4" t="inlineStr">
        <is>
          <t>F-Droid</t>
        </is>
      </c>
      <c r="D4" s="4" t="inlineStr">
        <is>
          <t>CLAP</t>
        </is>
      </c>
      <c r="E4" s="4" t="inlineStr">
        <is>
          <t>Pan</t>
        </is>
      </c>
    </row>
    <row r="5">
      <c r="A5" s="6" t="inlineStr">
        <is>
          <t>Zero-Shot</t>
        </is>
      </c>
      <c r="B5" s="6" t="inlineStr">
        <is>
          <t>GPT-4o</t>
        </is>
      </c>
      <c r="C5" s="10" t="n">
        <v>0.5421</v>
      </c>
      <c r="D5" s="10" t="n">
        <v>0.535</v>
      </c>
      <c r="E5" s="10" t="n">
        <v>0.7365</v>
      </c>
    </row>
    <row r="6">
      <c r="A6" s="6" t="inlineStr">
        <is>
          <t>Prompting</t>
        </is>
      </c>
      <c r="B6" s="6" t="inlineStr">
        <is>
          <t>GPT-4o + Few-Shot</t>
        </is>
      </c>
      <c r="C6" s="10" t="n">
        <v>0.5601</v>
      </c>
      <c r="D6" s="10" t="n">
        <v>0.7542</v>
      </c>
      <c r="E6" s="10" t="n">
        <v>0.7368</v>
      </c>
    </row>
    <row r="7">
      <c r="A7" s="6" t="inlineStr">
        <is>
          <t>PEFT</t>
        </is>
      </c>
      <c r="B7" s="6" t="inlineStr">
        <is>
          <t>DoRA + Sparse Attention</t>
        </is>
      </c>
      <c r="C7" s="10" t="n">
        <v>0.9151</v>
      </c>
      <c r="D7" s="10" t="n">
        <v>0.8401999999999999</v>
      </c>
      <c r="E7" s="10" t="n">
        <v>0.7687</v>
      </c>
    </row>
    <row r="8">
      <c r="A8" s="11" t="inlineStr">
        <is>
          <t>Total gain (ZS → PEFT)</t>
        </is>
      </c>
      <c r="B8" s="11" t="inlineStr">
        <is>
          <t>—</t>
        </is>
      </c>
      <c r="C8" s="12">
        <f>C7-C5</f>
        <v/>
      </c>
      <c r="D8" s="12">
        <f>D7-D5</f>
        <v/>
      </c>
      <c r="E8" s="12">
        <f>E7-E5</f>
        <v/>
      </c>
    </row>
    <row r="10" ht="30" customHeight="1">
      <c r="A10" s="1" t="inlineStr">
        <is>
          <t>Note: These are the cross-dataset descriptive representatives used with the Error Analysis: GPT-4o (ZS), GPT-4o + Few-Shot (Prompting), and DoRA + Sparse Attention (PEFT). Because PEFT is LLaMA-based while ZS/Prompting are GPT-4o-based, this comparison is descriptive and does not isolate paradigm effects from model-family differences.</t>
        </is>
      </c>
    </row>
    <row r="12" ht="21.75" customHeight="1">
      <c r="A12" s="20" t="inlineStr">
        <is>
          <t>Findings / What we observed</t>
        </is>
      </c>
    </row>
    <row r="13" ht="27.75" customHeight="1">
      <c r="A13" s="8" t="inlineStr">
        <is>
          <t>•</t>
        </is>
      </c>
      <c r="B13" s="2" t="inlineStr">
        <is>
          <t>Across these descriptive representatives, the numerical ordering is PEFT &gt; Prompting &gt; Zero-Shot on all three datasets.</t>
        </is>
      </c>
    </row>
    <row r="14" ht="27.75" customHeight="1">
      <c r="A14" s="8" t="inlineStr">
        <is>
          <t>•</t>
        </is>
      </c>
      <c r="B14" s="2" t="inlineStr">
        <is>
          <t>F-Droid shows the largest total gain from ZS to PEFT (+0.3730 Macro-F1), with most of the gain arising under PEFT.</t>
        </is>
      </c>
    </row>
    <row r="15" ht="27.75" customHeight="1">
      <c r="A15" s="8" t="inlineStr">
        <is>
          <t>•</t>
        </is>
      </c>
      <c r="B15" s="2" t="inlineStr">
        <is>
          <t>CLAP rises 0.5350 → 0.7542 → 0.8402, corresponding to +0.2192 from ZS to Prompting and +0.0860 from Prompting to PEFT.</t>
        </is>
      </c>
    </row>
    <row r="16" ht="27.75" customHeight="1">
      <c r="A16" s="8" t="inlineStr">
        <is>
          <t>•</t>
        </is>
      </c>
      <c r="B16" s="2" t="inlineStr">
        <is>
          <t>Pan rises 0.7365 → 0.7368 → 0.7687, corresponding to +0.0003 from ZS to Prompting and a total ZS → PEFT gain of +0.0322.</t>
        </is>
      </c>
    </row>
    <row r="17" ht="27.75" customHeight="1">
      <c r="A17" s="8" t="inlineStr">
        <is>
          <t>•</t>
        </is>
      </c>
      <c r="B17" s="2" t="inlineStr">
        <is>
          <t>The magnitude of improvement is dataset-dependent; benchmark characteristics continue to shape performance even under stronger adaptation.</t>
        </is>
      </c>
    </row>
    <row r="18" ht="27.75" customHeight="1">
      <c r="A18" s="8" t="inlineStr">
        <is>
          <t>•</t>
        </is>
      </c>
      <c r="B18" s="2" t="inlineStr">
        <is>
          <t>These cross-dataset results are descriptive; formal paired significance testing is reported separately in Table C using a within-LLaMA configuration set.</t>
        </is>
      </c>
    </row>
  </sheetData>
  <mergeCells count="10">
    <mergeCell ref="B17:E17"/>
    <mergeCell ref="B18:E18"/>
    <mergeCell ref="A12:E12"/>
    <mergeCell ref="A2:E2"/>
    <mergeCell ref="A10:E10"/>
    <mergeCell ref="B13:E13"/>
    <mergeCell ref="B16:E16"/>
    <mergeCell ref="B15:E15"/>
    <mergeCell ref="A1:E1"/>
    <mergeCell ref="B14:E14"/>
  </mergeCells>
  <pageMargins left="0.25" right="0.25" top="1" bottom="1" header="0.511811023622047" footer="0.511811023622047"/>
  <pageSetup orientation="landscape" paperSize="9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zoomScale="175" zoomScaleNormal="175" workbookViewId="0">
      <selection activeCell="A13" sqref="A13:E13"/>
    </sheetView>
  </sheetViews>
  <sheetFormatPr baseColWidth="8" defaultColWidth="8.6328125" defaultRowHeight="14.5"/>
  <cols>
    <col width="22" customWidth="1" min="1" max="1"/>
    <col width="12" customWidth="1" min="2" max="3"/>
    <col width="18" customWidth="1" min="4" max="4"/>
    <col width="14" customWidth="1" min="5" max="5"/>
    <col width="10" customWidth="1" min="6" max="9"/>
  </cols>
  <sheetData>
    <row r="1" ht="24" customHeight="1">
      <c r="A1" s="21" t="inlineStr">
        <is>
          <t>Table B — Cross-Dataset Variability of Descriptive Representative Configurations</t>
        </is>
      </c>
    </row>
    <row r="2">
      <c r="A2" s="3" t="inlineStr">
        <is>
          <t>Min, Max, Range, and Sample Standard Deviation of Macro-F1 across F-Droid, CLAP, and Pan</t>
        </is>
      </c>
    </row>
    <row r="4" ht="23.5" customHeight="1">
      <c r="A4" s="4" t="inlineStr">
        <is>
          <t>Paradigm</t>
        </is>
      </c>
      <c r="B4" s="4" t="inlineStr">
        <is>
          <t>Min</t>
        </is>
      </c>
      <c r="C4" s="4" t="inlineStr">
        <is>
          <t>Max</t>
        </is>
      </c>
      <c r="D4" s="4" t="inlineStr">
        <is>
          <t>Range (Max - Min)</t>
        </is>
      </c>
      <c r="E4" s="4" t="inlineStr">
        <is>
          <t>Std (sample)</t>
        </is>
      </c>
      <c r="F4" s="13" t="inlineStr">
        <is>
          <t>←  Helper:</t>
        </is>
      </c>
      <c r="G4" s="14" t="inlineStr">
        <is>
          <t>F-Droid</t>
        </is>
      </c>
      <c r="H4" s="14" t="inlineStr">
        <is>
          <t>CLAP</t>
        </is>
      </c>
      <c r="I4" s="14" t="inlineStr">
        <is>
          <t>Pan</t>
        </is>
      </c>
    </row>
    <row r="5">
      <c r="A5" s="6" t="inlineStr">
        <is>
          <t>Zero-Shot</t>
        </is>
      </c>
      <c r="B5" s="10">
        <f>MIN(G5:I5)</f>
        <v/>
      </c>
      <c r="C5" s="10">
        <f>MAX(G5:I5)</f>
        <v/>
      </c>
      <c r="D5" s="10">
        <f>C5-B5</f>
        <v/>
      </c>
      <c r="E5" s="10">
        <f>STDEV(G5:I5)</f>
        <v/>
      </c>
      <c r="G5" s="10" t="n">
        <v>0.5421</v>
      </c>
      <c r="H5" s="10" t="n">
        <v>0.535</v>
      </c>
      <c r="I5" s="10" t="n">
        <v>0.7365</v>
      </c>
    </row>
    <row r="6">
      <c r="A6" s="6" t="inlineStr">
        <is>
          <t>Prompting</t>
        </is>
      </c>
      <c r="B6" s="10">
        <f>MIN(G6:I6)</f>
        <v/>
      </c>
      <c r="C6" s="10">
        <f>MAX(G6:I6)</f>
        <v/>
      </c>
      <c r="D6" s="10">
        <f>C6-B6</f>
        <v/>
      </c>
      <c r="E6" s="10">
        <f>STDEV(G6:I6)</f>
        <v/>
      </c>
      <c r="G6" s="10" t="n">
        <v>0.5601</v>
      </c>
      <c r="H6" s="10" t="n">
        <v>0.7542</v>
      </c>
      <c r="I6" s="10" t="n">
        <v>0.7368</v>
      </c>
    </row>
    <row r="7">
      <c r="A7" s="6" t="inlineStr">
        <is>
          <t>PEFT</t>
        </is>
      </c>
      <c r="B7" s="10">
        <f>MIN(G7:I7)</f>
        <v/>
      </c>
      <c r="C7" s="10">
        <f>MAX(G7:I7)</f>
        <v/>
      </c>
      <c r="D7" s="15">
        <f>C7-B7</f>
        <v/>
      </c>
      <c r="E7" s="15">
        <f>STDEV(G7:I7)</f>
        <v/>
      </c>
      <c r="G7" s="10" t="n">
        <v>0.9151</v>
      </c>
      <c r="H7" s="10" t="n">
        <v>0.8401999999999999</v>
      </c>
      <c r="I7" s="10" t="n">
        <v>0.7687</v>
      </c>
    </row>
    <row r="9">
      <c r="A9" s="11" t="inlineStr">
        <is>
          <t>Reduction (ZS → PEFT)</t>
        </is>
      </c>
      <c r="B9" s="16" t="n"/>
      <c r="C9" s="16" t="n"/>
      <c r="D9" s="17">
        <f>(D5-D7)/D5</f>
        <v/>
      </c>
      <c r="E9" s="17">
        <f>(E5-E7)/E5</f>
        <v/>
      </c>
    </row>
    <row r="11" ht="30" customHeight="1">
      <c r="A11" s="1" t="inlineStr">
        <is>
          <t>Note: Values are calculated directly from the fixed representative Macro-F1 values in Table A. The manuscript now reports the same results rounded to three decimals.</t>
        </is>
      </c>
    </row>
    <row r="13" ht="21.75" customHeight="1">
      <c r="A13" s="20" t="inlineStr">
        <is>
          <t>Findings / What we observed</t>
        </is>
      </c>
    </row>
    <row r="14" ht="27.75" customHeight="1">
      <c r="A14" s="8" t="inlineStr">
        <is>
          <t>•</t>
        </is>
      </c>
      <c r="B14" s="2" t="inlineStr">
        <is>
          <t>Manuscript-aligned Range: 0.202 (ZS) → 0.194 (Prompting) → 0.146 (PEFT).</t>
        </is>
      </c>
    </row>
    <row r="15" ht="27.75" customHeight="1">
      <c r="A15" s="8" t="inlineStr">
        <is>
          <t>•</t>
        </is>
      </c>
      <c r="B15" s="2" t="inlineStr">
        <is>
          <t>Manuscript-aligned sample Std: 0.114 (ZS) → 0.107 (Prompting) → 0.073 (PEFT), a reduction of approximately 36% from ZS to PEFT.</t>
        </is>
      </c>
    </row>
    <row r="16" ht="27.75" customHeight="1">
      <c r="A16" s="8" t="inlineStr">
        <is>
          <t>•</t>
        </is>
      </c>
      <c r="B16" s="2" t="inlineStr">
        <is>
          <t>The variability decreases monotonically across the three descriptive representative configurations.</t>
        </is>
      </c>
    </row>
    <row r="17" ht="27.75" customHeight="1">
      <c r="A17" s="8" t="inlineStr">
        <is>
          <t>•</t>
        </is>
      </c>
      <c r="B17" s="2" t="inlineStr">
        <is>
          <t>Direct calculation from the underlying Table A values gives Range ≈ 0.2015 → 0.1941 → 0.1464 and sample Std ≈ 0.1143 → 0.1074 → 0.0732; the manuscript reports these values rounded to three decimals.</t>
        </is>
      </c>
    </row>
    <row r="18" ht="27.75" customHeight="1">
      <c r="A18" s="8" t="inlineStr">
        <is>
          <t>•</t>
        </is>
      </c>
      <c r="B18" s="2" t="inlineStr">
        <is>
          <t>Residual variability under PEFT remains material (Range ≈ 0.146), including the F-Droid (0.915) vs Pan (0.769) gap, so benchmark-specific characteristics continue to matter.</t>
        </is>
      </c>
    </row>
    <row r="19" ht="27.75" customHeight="1">
      <c r="A19" s="8" t="inlineStr">
        <is>
          <t>•</t>
        </is>
      </c>
      <c r="B19" s="2" t="inlineStr">
        <is>
          <t>This variability analysis is descriptive and cross-family; it is not the basis of the McNemar paired significance test.</t>
        </is>
      </c>
    </row>
  </sheetData>
  <mergeCells count="10">
    <mergeCell ref="B17:E17"/>
    <mergeCell ref="B18:E18"/>
    <mergeCell ref="A2:E2"/>
    <mergeCell ref="B16:E16"/>
    <mergeCell ref="A11:E11"/>
    <mergeCell ref="B15:E15"/>
    <mergeCell ref="A1:E1"/>
    <mergeCell ref="B19:E19"/>
    <mergeCell ref="A13:E13"/>
    <mergeCell ref="B14:E14"/>
  </mergeCells>
  <pageMargins left="0.25" right="0.25" top="1" bottom="1" header="0.511811023622047" footer="0.511811023622047"/>
  <pageSetup orientation="landscape" paperSize="9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tabSelected="1" zoomScale="160" zoomScaleNormal="160" workbookViewId="0">
      <selection activeCell="A22" sqref="A22:F22"/>
    </sheetView>
  </sheetViews>
  <sheetFormatPr baseColWidth="8" defaultColWidth="8.6328125" defaultRowHeight="14.5"/>
  <cols>
    <col width="12" customWidth="1" min="1" max="1"/>
    <col width="24" customWidth="1" min="2" max="2"/>
    <col width="10" customWidth="1" min="3" max="4"/>
    <col width="10" customWidth="1" min="4" max="4"/>
    <col width="14" customWidth="1" min="5" max="5"/>
    <col width="24" customWidth="1" min="6" max="6"/>
  </cols>
  <sheetData>
    <row r="1" ht="24" customHeight="1">
      <c r="A1" s="22" t="inlineStr">
        <is>
          <t>Table C — Updated McNemar's Test: Within-LLaMA Pairwise Comparisons</t>
        </is>
      </c>
    </row>
    <row r="2">
      <c r="A2" s="23" t="inlineStr">
        <is>
          <t>Bonferroni correction within each dataset (α* = 0.05/3 ≈ 0.0167); representative configurations fixed a priori</t>
        </is>
      </c>
    </row>
    <row r="4" ht="28" customHeight="1">
      <c r="A4" s="4" t="inlineStr">
        <is>
          <t>Dataset</t>
        </is>
      </c>
      <c r="B4" s="4" t="inlineStr">
        <is>
          <t>Comparison</t>
        </is>
      </c>
      <c r="C4" s="4" t="inlineStr">
        <is>
          <t>b</t>
        </is>
      </c>
      <c r="D4" s="4" t="inlineStr">
        <is>
          <t>c</t>
        </is>
      </c>
      <c r="E4" s="4" t="inlineStr">
        <is>
          <t>p-value</t>
        </is>
      </c>
      <c r="F4" s="4" t="inlineStr">
        <is>
          <t>Significant (α* = 0.0167)</t>
        </is>
      </c>
    </row>
    <row r="5">
      <c r="A5" s="14" t="inlineStr">
        <is>
          <t>F-Droid</t>
        </is>
      </c>
      <c r="B5" s="7" t="inlineStr">
        <is>
          <t>ZS vs Prompting</t>
        </is>
      </c>
      <c r="C5" s="5" t="inlineStr">
        <is>
          <t>N/R</t>
        </is>
      </c>
      <c r="D5" s="5" t="inlineStr">
        <is>
          <t>N/R</t>
        </is>
      </c>
      <c r="E5" s="5" t="inlineStr">
        <is>
          <t>0.639</t>
        </is>
      </c>
      <c r="F5" s="18" t="inlineStr">
        <is>
          <t>✗</t>
        </is>
      </c>
    </row>
    <row r="6">
      <c r="A6" s="14" t="inlineStr">
        <is>
          <t>F-Droid</t>
        </is>
      </c>
      <c r="B6" s="7" t="inlineStr">
        <is>
          <t>Prompting vs PEFT</t>
        </is>
      </c>
      <c r="C6" s="5" t="inlineStr">
        <is>
          <t>N/R</t>
        </is>
      </c>
      <c r="D6" s="5" t="inlineStr">
        <is>
          <t>N/R</t>
        </is>
      </c>
      <c r="E6" s="5" t="inlineStr">
        <is>
          <t>&lt; 0.001</t>
        </is>
      </c>
      <c r="F6" s="18" t="inlineStr">
        <is>
          <t>✓</t>
        </is>
      </c>
    </row>
    <row r="7">
      <c r="A7" s="14" t="inlineStr">
        <is>
          <t>F-Droid</t>
        </is>
      </c>
      <c r="B7" s="7" t="inlineStr">
        <is>
          <t>ZS vs PEFT</t>
        </is>
      </c>
      <c r="C7" s="5" t="inlineStr">
        <is>
          <t>N/R</t>
        </is>
      </c>
      <c r="D7" s="5" t="inlineStr">
        <is>
          <t>N/R</t>
        </is>
      </c>
      <c r="E7" s="5" t="inlineStr">
        <is>
          <t>&lt; 0.001</t>
        </is>
      </c>
      <c r="F7" s="18" t="inlineStr">
        <is>
          <t>✓</t>
        </is>
      </c>
    </row>
    <row r="8">
      <c r="A8" s="14" t="inlineStr">
        <is>
          <t>CLAP</t>
        </is>
      </c>
      <c r="B8" s="7" t="inlineStr">
        <is>
          <t>ZS vs Prompting</t>
        </is>
      </c>
      <c r="C8" s="5" t="inlineStr">
        <is>
          <t>N/R</t>
        </is>
      </c>
      <c r="D8" s="5" t="inlineStr">
        <is>
          <t>N/R</t>
        </is>
      </c>
      <c r="E8" s="5" t="inlineStr">
        <is>
          <t>&lt; 0.001</t>
        </is>
      </c>
      <c r="F8" s="18" t="inlineStr">
        <is>
          <t>✓</t>
        </is>
      </c>
    </row>
    <row r="9">
      <c r="A9" s="14" t="inlineStr">
        <is>
          <t>CLAP</t>
        </is>
      </c>
      <c r="B9" s="7" t="inlineStr">
        <is>
          <t>Prompting vs PEFT</t>
        </is>
      </c>
      <c r="C9" s="5" t="inlineStr">
        <is>
          <t>N/R</t>
        </is>
      </c>
      <c r="D9" s="5" t="inlineStr">
        <is>
          <t>N/R</t>
        </is>
      </c>
      <c r="E9" s="5" t="inlineStr">
        <is>
          <t>&lt; 0.001</t>
        </is>
      </c>
      <c r="F9" s="18" t="inlineStr">
        <is>
          <t>✓</t>
        </is>
      </c>
    </row>
    <row r="10">
      <c r="A10" s="14" t="inlineStr">
        <is>
          <t>CLAP</t>
        </is>
      </c>
      <c r="B10" s="7" t="inlineStr">
        <is>
          <t>ZS vs PEFT</t>
        </is>
      </c>
      <c r="C10" s="5" t="inlineStr">
        <is>
          <t>N/R</t>
        </is>
      </c>
      <c r="D10" s="5" t="inlineStr">
        <is>
          <t>N/R</t>
        </is>
      </c>
      <c r="E10" s="5" t="inlineStr">
        <is>
          <t>&lt; 0.001</t>
        </is>
      </c>
      <c r="F10" s="18" t="inlineStr">
        <is>
          <t>✓</t>
        </is>
      </c>
    </row>
    <row r="11">
      <c r="A11" s="14" t="inlineStr">
        <is>
          <t>Pan</t>
        </is>
      </c>
      <c r="B11" s="7" t="inlineStr">
        <is>
          <t>ZS vs Prompting</t>
        </is>
      </c>
      <c r="C11" s="5" t="inlineStr">
        <is>
          <t>N/R</t>
        </is>
      </c>
      <c r="D11" s="5" t="inlineStr">
        <is>
          <t>N/R</t>
        </is>
      </c>
      <c r="E11" s="5" t="inlineStr">
        <is>
          <t>0.046</t>
        </is>
      </c>
      <c r="F11" s="19" t="inlineStr">
        <is>
          <t>✗</t>
        </is>
      </c>
    </row>
    <row r="12">
      <c r="A12" s="14" t="inlineStr">
        <is>
          <t>Pan</t>
        </is>
      </c>
      <c r="B12" s="7" t="inlineStr">
        <is>
          <t>Prompting vs PEFT</t>
        </is>
      </c>
      <c r="C12" s="5" t="inlineStr">
        <is>
          <t>N/R</t>
        </is>
      </c>
      <c r="D12" s="5" t="inlineStr">
        <is>
          <t>N/R</t>
        </is>
      </c>
      <c r="E12" s="5" t="inlineStr">
        <is>
          <t>&lt; 0.001</t>
        </is>
      </c>
      <c r="F12" s="19" t="inlineStr">
        <is>
          <t>✓</t>
        </is>
      </c>
    </row>
    <row r="13">
      <c r="A13" s="14" t="inlineStr">
        <is>
          <t>Pan</t>
        </is>
      </c>
      <c r="B13" s="7" t="inlineStr">
        <is>
          <t>ZS vs PEFT</t>
        </is>
      </c>
      <c r="C13" s="5" t="inlineStr">
        <is>
          <t>N/R</t>
        </is>
      </c>
      <c r="D13" s="5" t="inlineStr">
        <is>
          <t>N/R</t>
        </is>
      </c>
      <c r="E13" s="5" t="inlineStr">
        <is>
          <t>&lt; 0.001</t>
        </is>
      </c>
      <c r="F13" s="19" t="inlineStr">
        <is>
          <t>✓</t>
        </is>
      </c>
    </row>
    <row r="15" ht="42" customHeight="1">
      <c r="A15" s="1" t="inlineStr">
        <is>
          <t>Note: b and c (discordant-pair counts) are not reported in the manuscript for the updated nine comparisons, so they are intentionally marked N/R rather than reusing obsolete counts from the previous analysis.</t>
        </is>
      </c>
    </row>
    <row r="16" ht="42" customHeight="1">
      <c r="A16" s="24" t="inlineStr">
        <is>
          <t>Configurations fixed a priori: ZS = LLaMA-3.1-8B-Instant; Prompting = LLaMA-3.1-8B-Instant + Few-Shot; PEFT = LLaMA-3-8B DoRA + Sparse Attention.</t>
        </is>
      </c>
    </row>
    <row r="17" ht="21.75" customHeight="1">
      <c r="A17" s="24" t="inlineStr">
        <is>
          <t>Manuscript alignment: 7/9 comparisons are significant after within-dataset Bonferroni correction; ZS vs Prompting is significant only on CLAP.</t>
        </is>
      </c>
    </row>
    <row r="18" ht="53.5" customHeight="1">
      <c r="A18" s="9" t="inlineStr">
        <is>
          <t>Summary</t>
        </is>
      </c>
    </row>
    <row r="19" ht="30" customHeight="1">
      <c r="A19" s="9" t="inlineStr">
        <is>
          <t>Significant comparisons</t>
        </is>
      </c>
      <c r="B19" s="2" t="inlineStr">
        <is>
          <t>7 of 9</t>
        </is>
      </c>
    </row>
    <row r="20" ht="30" customHeight="1">
      <c r="A20" s="9" t="inlineStr">
        <is>
          <t>All three significant</t>
        </is>
      </c>
      <c r="B20" s="2" t="inlineStr">
        <is>
          <t>CLAP</t>
        </is>
      </c>
    </row>
    <row r="21" ht="30" customHeight="1">
      <c r="A21" t="inlineStr">
        <is>
          <t>Two of three significant</t>
        </is>
      </c>
      <c r="B21" t="inlineStr">
        <is>
          <t>F-Droid, Pan (both PEFT comparisons significant)</t>
        </is>
      </c>
    </row>
    <row r="22" ht="21.75" customHeight="1">
      <c r="A22" s="20" t="n"/>
    </row>
    <row r="23" ht="27.75" customHeight="1">
      <c r="A23" s="2" t="inlineStr">
        <is>
          <t>Methodology / What the updated test establishes</t>
        </is>
      </c>
    </row>
    <row r="24" ht="30" customHeight="1">
      <c r="A24" s="8" t="inlineStr">
        <is>
          <t>•</t>
        </is>
      </c>
      <c r="B24" s="2" t="inlineStr">
        <is>
          <t>Configurations were fixed a priori — before observing pairwise comparison results — to maintain methodological coherence and avoid selection bias.</t>
        </is>
      </c>
    </row>
    <row r="25" ht="30" customHeight="1">
      <c r="A25" s="8" t="inlineStr">
        <is>
          <t>•</t>
        </is>
      </c>
      <c r="B25" s="2" t="inlineStr">
        <is>
          <t>ZS and Prompting use single-pass full-dataset predictions; PEFT uses out-of-fold predictions assembled across 10 stratified folds so each instance contributes exactly one test-fold prediction.</t>
        </is>
      </c>
    </row>
    <row r="26" ht="30" customHeight="1">
      <c r="A26" s="8" t="inlineStr">
        <is>
          <t>•</t>
        </is>
      </c>
      <c r="B26" s="2" t="inlineStr">
        <is>
          <t>Bonferroni correction is applied within each dataset (k = 3; α* ≈ 0.0167), not globally across all nine comparisons.</t>
        </is>
      </c>
    </row>
    <row r="27" ht="30" customHeight="1">
      <c r="A27" s="8" t="inlineStr">
        <is>
          <t>•</t>
        </is>
      </c>
      <c r="B27" s="2" t="inlineStr">
        <is>
          <t>Chi-square McNemar uses Edwards' continuity correction, with an exact binomial fallback when the number of discordant pairs is below 25.</t>
        </is>
      </c>
    </row>
    <row r="28" ht="30" customHeight="1">
      <c r="A28" s="8" t="inlineStr">
        <is>
          <t>•</t>
        </is>
      </c>
      <c r="B28" s="2" t="inlineStr">
        <is>
          <t>Both comparisons involving PEFT are significant on F-Droid, CLAP, and Pan after correction.</t>
        </is>
      </c>
    </row>
    <row r="29" ht="30" customHeight="1">
      <c r="A29" s="8" t="inlineStr">
        <is>
          <t>•</t>
        </is>
      </c>
      <c r="B29" s="2" t="inlineStr">
        <is>
          <t>ZS vs Prompting is significant only on CLAP; it is not significant on F-Droid (p = 0.639) or Pan (p = 0.046 after Bonferroni thresholding).</t>
        </is>
      </c>
    </row>
    <row r="30" ht="30" customHeight="1">
      <c r="A30" s="8" t="inlineStr">
        <is>
          <t>•</t>
        </is>
      </c>
      <c r="B30" s="2" t="inlineStr">
        <is>
          <t>McNemar characterises the disagreement structure of paired predictions and complements — rather than independently establishes — the Macro-F1 ordering.</t>
        </is>
      </c>
    </row>
  </sheetData>
  <mergeCells count="17">
    <mergeCell ref="B21:F21"/>
    <mergeCell ref="A16:F16"/>
    <mergeCell ref="A2:F2"/>
    <mergeCell ref="B30:F30"/>
    <mergeCell ref="B29:F29"/>
    <mergeCell ref="B24:F24"/>
    <mergeCell ref="B20:F20"/>
    <mergeCell ref="B25:F25"/>
    <mergeCell ref="A23:F23"/>
    <mergeCell ref="B28:F28"/>
    <mergeCell ref="B19:F19"/>
    <mergeCell ref="A1:F1"/>
    <mergeCell ref="A17:F17"/>
    <mergeCell ref="A18:F18"/>
    <mergeCell ref="B26:F26"/>
    <mergeCell ref="A15:F15"/>
    <mergeCell ref="B27:F27"/>
  </mergeCells>
  <pageMargins left="0.25" right="0.25" top="1" bottom="1" header="0.511811023622047" footer="0.511811023622047"/>
  <pageSetup orientation="landscape" paperSize="9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42" customWidth="1" min="4" max="4"/>
    <col width="28" customWidth="1" min="5" max="5"/>
    <col width="24" customWidth="1" min="6" max="6"/>
  </cols>
  <sheetData>
    <row r="1">
      <c r="A1" s="22" t="inlineStr">
        <is>
          <t>Methodology Mapping — Descriptive Cross-Dataset Analysis vs Statistical Validation</t>
        </is>
      </c>
    </row>
    <row r="2">
      <c r="A2" s="23" t="inlineStr">
        <is>
          <t>Keeps the two representative-configuration sets separate so no methodological detail from the manuscript is lost</t>
        </is>
      </c>
    </row>
    <row r="4">
      <c r="A4" s="4" t="inlineStr">
        <is>
          <t>Analysis</t>
        </is>
      </c>
      <c r="B4" s="4" t="inlineStr">
        <is>
          <t>Zero-Shot</t>
        </is>
      </c>
      <c r="C4" s="4" t="inlineStr">
        <is>
          <t>Prompting</t>
        </is>
      </c>
      <c r="D4" s="4" t="inlineStr">
        <is>
          <t>PEFT</t>
        </is>
      </c>
      <c r="E4" s="4" t="inlineStr">
        <is>
          <t>Prediction basis</t>
        </is>
      </c>
      <c r="F4" s="4" t="inlineStr">
        <is>
          <t>Interpretation</t>
        </is>
      </c>
    </row>
    <row r="5" ht="62" customHeight="1">
      <c r="A5" s="25" t="inlineStr">
        <is>
          <t>Cross-dataset descriptive / Error Analysis</t>
        </is>
      </c>
      <c r="B5" s="26" t="inlineStr">
        <is>
          <t>GPT-4o</t>
        </is>
      </c>
      <c r="C5" s="26" t="inlineStr">
        <is>
          <t>GPT-4o + Few-Shot</t>
        </is>
      </c>
      <c r="D5" s="26" t="inlineStr">
        <is>
          <t>DoRA + Sparse Attention</t>
        </is>
      </c>
      <c r="E5" s="26" t="inlineStr">
        <is>
          <t>ZS/Prompting: full-dataset inference; PEFT performance summary</t>
        </is>
      </c>
      <c r="F5" s="27" t="inlineStr">
        <is>
          <t>Cross-family descriptive comparison; does not isolate paradigm from model-family effects</t>
        </is>
      </c>
    </row>
    <row r="6" ht="62" customHeight="1">
      <c r="A6" s="25" t="inlineStr">
        <is>
          <t>McNemar statistical validation</t>
        </is>
      </c>
      <c r="B6" s="26" t="inlineStr">
        <is>
          <t>LLaMA-3.1-8B-Instant</t>
        </is>
      </c>
      <c r="C6" s="26" t="inlineStr">
        <is>
          <t>LLaMA-3.1-8B-Instant + Few-Shot</t>
        </is>
      </c>
      <c r="D6" s="26" t="inlineStr">
        <is>
          <t>LLaMA-3-8B DoRA + Sparse Attention</t>
        </is>
      </c>
      <c r="E6" s="26" t="inlineStr">
        <is>
          <t>ZS/Prompting: single-pass; PEFT: 10-fold out-of-fold predictions</t>
        </is>
      </c>
      <c r="F6" s="27" t="inlineStr">
        <is>
          <t>Within-LLaMA basis for paired statistical comparison</t>
        </is>
      </c>
    </row>
    <row r="9">
      <c r="A9" s="2" t="inlineStr">
        <is>
          <t>Key methodological controls retained from the manuscript</t>
        </is>
      </c>
    </row>
    <row r="10" ht="34" customHeight="1">
      <c r="A10" s="8" t="inlineStr">
        <is>
          <t>A priori selection</t>
        </is>
      </c>
      <c r="B10" s="28" t="inlineStr">
        <is>
          <t>McNemar representative configurations were fixed a priori — before observing pairwise comparison results — to maintain methodological coherence and avoid selection bias.</t>
        </is>
      </c>
    </row>
    <row r="11" ht="34" customHeight="1">
      <c r="A11" s="8" t="inlineStr">
        <is>
          <t>Prediction alignment</t>
        </is>
      </c>
      <c r="B11" s="28" t="inlineStr">
        <is>
          <t>Each dataset uses the same instances across paradigms; PEFT contributes exactly one out-of-fold test prediction per instance.</t>
        </is>
      </c>
    </row>
    <row r="12" ht="34" customHeight="1">
      <c r="A12" s="8" t="inlineStr">
        <is>
          <t>Multiple testing</t>
        </is>
      </c>
      <c r="B12" s="28" t="inlineStr">
        <is>
          <t>Bonferroni correction within each dataset: α* = 0.05/3 ≈ 0.0167.</t>
        </is>
      </c>
    </row>
    <row r="13" ht="34" customHeight="1">
      <c r="A13" s="8" t="inlineStr">
        <is>
          <t>McNemar implementation</t>
        </is>
      </c>
      <c r="B13" s="28" t="inlineStr">
        <is>
          <t>Edwards' continuity-corrected chi-square test; exact binomial fallback when discordant pairs &lt; 25.</t>
        </is>
      </c>
    </row>
    <row r="14" ht="34" customHeight="1">
      <c r="A14" s="8" t="inlineStr">
        <is>
          <t>Interpretation</t>
        </is>
      </c>
      <c r="B14" s="28" t="inlineStr">
        <is>
          <t>McNemar supports the paired disagreement evidence; it does not measure the magnitude of Macro-F1 differences.</t>
        </is>
      </c>
    </row>
    <row r="15" ht="34" customHeight="1">
      <c r="A15" s="8" t="inlineStr">
        <is>
          <t>b/c counts</t>
        </is>
      </c>
      <c r="B15" s="28" t="inlineStr">
        <is>
          <t>Not reported for the updated comparisons in the manuscript; intentionally not reconstructed or borrowed from the previous run.</t>
        </is>
      </c>
    </row>
    <row r="16" ht="34" customHeight="1">
      <c r="A16" s="8" t="inlineStr">
        <is>
          <t>Source</t>
        </is>
      </c>
      <c r="B16" s="28" t="inlineStr">
        <is>
          <t>Current manuscript, updated Cross-Dataset Evaluation and Statistical Validation sections; replication package: https://doi.org/10.5281/zenodo.22159105</t>
        </is>
      </c>
    </row>
  </sheetData>
  <mergeCells count="10">
    <mergeCell ref="A2:F2"/>
    <mergeCell ref="B12:F12"/>
    <mergeCell ref="B16:F16"/>
    <mergeCell ref="B15:F15"/>
    <mergeCell ref="B10:F10"/>
    <mergeCell ref="B11:F11"/>
    <mergeCell ref="A1:F1"/>
    <mergeCell ref="A9:F9"/>
    <mergeCell ref="B14:F14"/>
    <mergeCell ref="B13:F13"/>
  </mergeCells>
  <pageMargins left="0.25" right="0.2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2026-05-31T17:57:20Z</dcterms:created>
  <dcterms:modified xmlns:dcterms="http://purl.org/dc/terms/" xmlns:xsi="http://www.w3.org/2001/XMLSchema-instance" xsi:type="dcterms:W3CDTF">2026-08-30T12:01:26Z</dcterms:modified>
  <cp:lastModifiedBy>khalid althobiti</cp:lastModifiedBy>
  <cp:revision>0</cp:revision>
</cp:coreProperties>
</file>