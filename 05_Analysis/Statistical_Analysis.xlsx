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a3a376cd4effbd2/Desktop/هندسة البرمجيات/المستوى الخامس/نتائج البرتوكول الموحد/"/>
    </mc:Choice>
  </mc:AlternateContent>
  <xr:revisionPtr revIDLastSave="19" documentId="11_312FF1804F46BFD515B2D982EDACAD20A69BA9AB" xr6:coauthVersionLast="47" xr6:coauthVersionMax="47" xr10:uidLastSave="{2E5FEE91-C41E-411A-A560-18AC53D63DAD}"/>
  <bookViews>
    <workbookView xWindow="-110" yWindow="-110" windowWidth="38620" windowHeight="21100" tabRatio="500" activeTab="2" xr2:uid="{00000000-000D-0000-FFFF-FFFF00000000}"/>
  </bookViews>
  <sheets>
    <sheet name="2. Performance (Table A)" sheetId="3" r:id="rId1"/>
    <sheet name="3. Variability (Table B)" sheetId="4" r:id="rId2"/>
    <sheet name="4. McNemar (Table C)" sheetId="5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7" i="4" l="1"/>
  <c r="C7" i="4"/>
  <c r="D7" i="4" s="1"/>
  <c r="B7" i="4"/>
  <c r="E6" i="4"/>
  <c r="C6" i="4"/>
  <c r="D6" i="4" s="1"/>
  <c r="B6" i="4"/>
  <c r="E5" i="4"/>
  <c r="E9" i="4" s="1"/>
  <c r="C5" i="4"/>
  <c r="D5" i="4" s="1"/>
  <c r="D9" i="4" s="1"/>
  <c r="B5" i="4"/>
  <c r="E8" i="3"/>
  <c r="D8" i="3"/>
  <c r="C8" i="3"/>
</calcChain>
</file>

<file path=xl/sharedStrings.xml><?xml version="1.0" encoding="utf-8"?>
<sst xmlns="http://schemas.openxmlformats.org/spreadsheetml/2006/main" count="123" uniqueCount="71">
  <si>
    <t>•</t>
  </si>
  <si>
    <t>Table A — Cross-Dataset Performance per Paradigm</t>
  </si>
  <si>
    <t>Macro-F1 across F-Droid, CLAP, and Pan using representative configurations</t>
  </si>
  <si>
    <t>Paradigm</t>
  </si>
  <si>
    <t>Configuration</t>
  </si>
  <si>
    <t>F-Droid</t>
  </si>
  <si>
    <t>CLAP</t>
  </si>
  <si>
    <t>Pan</t>
  </si>
  <si>
    <t>Zero-Shot</t>
  </si>
  <si>
    <t>GPT-4o</t>
  </si>
  <si>
    <t>Prompting</t>
  </si>
  <si>
    <t>GPT-4o + Few-Shot</t>
  </si>
  <si>
    <t>PEFT</t>
  </si>
  <si>
    <t>DoRA + Sparse Attention</t>
  </si>
  <si>
    <t>Total gain (ZS → PEFT)</t>
  </si>
  <si>
    <t>—</t>
  </si>
  <si>
    <t>Note: Values represent Macro-F1. Representative configurations were selected for consistency across the three datasets, not as best-per-dataset.</t>
  </si>
  <si>
    <t>Findings / What we observed</t>
  </si>
  <si>
    <t>Paradigm ranking remains stable across all three datasets: PEFT &gt; Prompting &gt; Zero-Shot, without exception.</t>
  </si>
  <si>
    <t>F-Droid shows the largest total gain (+0.373), driven almost entirely by the Zero-Shot → PEFT transition.</t>
  </si>
  <si>
    <t>CLAP gains substantially from Prompting (+0.219) due to resolution of the OTHER category misclassification.</t>
  </si>
  <si>
    <t>Pan shows minimal gains (+0.032 total), reflecting that the conversational-intent label structure leaves little headroom for paradigm-driven improvement.</t>
  </si>
  <si>
    <t>The dataset–paradigm interaction is clear: F-Droid favors PEFT; CLAP favors Prompting; Pan resists improvement.</t>
  </si>
  <si>
    <t>This indicates that the optimal paradigm choice depends on benchmark structure (label space, residual classes, review style).</t>
  </si>
  <si>
    <t>Table B — Cross-Dataset Variability per Paradigm</t>
  </si>
  <si>
    <t>Min, Max, Range, and Standard Deviation of Macro-F1 across F-Droid, CLAP, and Pan</t>
  </si>
  <si>
    <t>Min</t>
  </si>
  <si>
    <t>Max</t>
  </si>
  <si>
    <t>Range (Max - Min)</t>
  </si>
  <si>
    <t>Std (sample)</t>
  </si>
  <si>
    <t>←  Helper:</t>
  </si>
  <si>
    <t>Reduction (ZS → PEFT)</t>
  </si>
  <si>
    <t>Note: Range and Std are computed across the three datasets per paradigm. Both decrease monotonically from Zero-Shot to PEFT — evidence of cross-dataset convergence.</t>
  </si>
  <si>
    <t>The Range of Macro-F1 across datasets contracts as the paradigm becomes more adaptive: 0.2015 → 0.1941 → 0.1464.</t>
  </si>
  <si>
    <t>The sample Standard Deviation also drops monotonically: 0.1143 → 0.1074 → 0.0732 — a 36% reduction from ZS to PEFT.</t>
  </si>
  <si>
    <t>This is direct evidence of convergence: task-specific adaptation partially compensates for cross-dataset variability.</t>
  </si>
  <si>
    <t>Convergence is monotonic (decreases at each step), strengthening the claim that this is not a random fluctuation.</t>
  </si>
  <si>
    <t>Residual variability under PEFT (0.146) indicates benchmark characteristics still bound achievable performance.</t>
  </si>
  <si>
    <t>The largest residual gap is between F-Droid (0.9151) and Pan (0.7687) — confirming dataset structure matters even under adaptation.</t>
  </si>
  <si>
    <t>Table C — McNemar's Test: Pairwise Comparisons across Paradigms</t>
  </si>
  <si>
    <t>Bonferroni correction within each dataset (α* = 0.05/3 ≈ 0.0167)</t>
  </si>
  <si>
    <t>Dataset</t>
  </si>
  <si>
    <t>Comparison</t>
  </si>
  <si>
    <t>b</t>
  </si>
  <si>
    <t>c</t>
  </si>
  <si>
    <t>p-value</t>
  </si>
  <si>
    <t>Significant (α* = 0.0167)</t>
  </si>
  <si>
    <t>ZS vs Prompting</t>
  </si>
  <si>
    <t>3.94e-08</t>
  </si>
  <si>
    <t>✓</t>
  </si>
  <si>
    <t>Prompting vs PEFT</t>
  </si>
  <si>
    <t>&lt; 1e-100</t>
  </si>
  <si>
    <t>ZS vs PEFT</t>
  </si>
  <si>
    <t>1.11e-16</t>
  </si>
  <si>
    <t>0.1207</t>
  </si>
  <si>
    <t>✗</t>
  </si>
  <si>
    <t>0.5596</t>
  </si>
  <si>
    <t>0.0877</t>
  </si>
  <si>
    <t>Note: b = paradigm A correct &amp; B wrong;  c = paradigm A wrong &amp; B correct.  Bonferroni-corrected significance threshold: α* = 0.0167.</t>
  </si>
  <si>
    <t>Summary</t>
  </si>
  <si>
    <t>6 of 9</t>
  </si>
  <si>
    <t>Datasets with all comparisons significant:</t>
  </si>
  <si>
    <t>F-Droid, CLAP</t>
  </si>
  <si>
    <t>On F-Droid and CLAP, all three pairwise comparisons are significant after Bonferroni correction.</t>
  </si>
  <si>
    <t>On Pan, none of the three comparisons reaches significance — consistent with the modest absolute gains (+0.0003, +0.032) observed in Table A.</t>
  </si>
  <si>
    <t>McNemar tests the disagreement structure of predictions; it supports the observed ranking rather than independently establishing it.</t>
  </si>
  <si>
    <t>The non-significance on Pan is not a contradiction — it is consistent with the cross-dataset observation that Pan resists paradigm-driven improvement.</t>
  </si>
  <si>
    <t>Bonferroni applied within each dataset (k=3) rather than globally (k=9) — each dataset is treated as an independent research question.</t>
  </si>
  <si>
    <t>Used Edwards continuity correction for chi-square McNemar, with exact binomial fallback when discordant pairs &lt; 25.</t>
  </si>
  <si>
    <t>Significant comparisons</t>
  </si>
  <si>
    <t>Datasets with no significant comparisons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</si>
</sst>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\+0.0000;\-0.0000"/>
    <numFmt numFmtId="166" formatCode="0.0%"/>
  </numFmts>
  <fonts count="7" x14ac:knownFonts="1">
    <font>
      <sz val="11"/>
      <color theme="1"/>
      <name val="Calibri"/>
      <family val="2"/>
      <charset val="1"/>
    </font>
    <font>
      <i/>
      <sz val="10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2"/>
      <name val="Arial"/>
      <family val="2"/>
    </font>
    <font>
      <b/>
      <sz val="1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FFFF"/>
      </patternFill>
    </fill>
    <fill>
      <patternFill patternType="solid">
        <fgColor rgb="FFC6EFCE"/>
        <bgColor rgb="FFD9E1F2"/>
      </patternFill>
    </fill>
    <fill>
      <patternFill patternType="solid">
        <fgColor rgb="FFFFC7CE"/>
        <bgColor rgb="FFD9E1F2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4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165" fontId="4" fillId="3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right"/>
    </xf>
    <xf numFmtId="0" fontId="4" fillId="0" borderId="1" xfId="0" applyFont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66" fontId="4" fillId="3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0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8"/>
  <sheetViews>
    <sheetView zoomScale="190" zoomScaleNormal="190" workbookViewId="0">
      <selection activeCell="B14" sqref="B14:E14"/>
    </sheetView>
  </sheetViews>
  <sheetFormatPr defaultColWidth="8.6328125" defaultRowHeight="14.5" x14ac:dyDescent="0.35"/>
  <cols>
    <col min="1" max="1" width="22" customWidth="1"/>
    <col min="2" max="2" width="26" customWidth="1"/>
    <col min="3" max="5" width="14" customWidth="1"/>
  </cols>
  <sheetData>
    <row r="1" spans="1:5" ht="24" customHeight="1" x14ac:dyDescent="0.4">
      <c r="A1" s="21" t="s">
        <v>1</v>
      </c>
      <c r="B1" s="21"/>
      <c r="C1" s="21"/>
      <c r="D1" s="21"/>
      <c r="E1" s="21"/>
    </row>
    <row r="2" spans="1:5" x14ac:dyDescent="0.35">
      <c r="A2" s="3" t="s">
        <v>2</v>
      </c>
      <c r="B2" s="3"/>
      <c r="C2" s="3"/>
      <c r="D2" s="3"/>
      <c r="E2" s="3"/>
    </row>
    <row r="4" spans="1:5" x14ac:dyDescent="0.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</row>
    <row r="5" spans="1:5" x14ac:dyDescent="0.35">
      <c r="A5" s="6" t="s">
        <v>8</v>
      </c>
      <c r="B5" s="6" t="s">
        <v>9</v>
      </c>
      <c r="C5" s="10">
        <v>0.54210000000000003</v>
      </c>
      <c r="D5" s="10">
        <v>0.53500000000000003</v>
      </c>
      <c r="E5" s="10">
        <v>0.73650000000000004</v>
      </c>
    </row>
    <row r="6" spans="1:5" x14ac:dyDescent="0.35">
      <c r="A6" s="6" t="s">
        <v>10</v>
      </c>
      <c r="B6" s="6" t="s">
        <v>11</v>
      </c>
      <c r="C6" s="10">
        <v>0.56010000000000004</v>
      </c>
      <c r="D6" s="10">
        <v>0.75419999999999998</v>
      </c>
      <c r="E6" s="10">
        <v>0.73680000000000001</v>
      </c>
    </row>
    <row r="7" spans="1:5" x14ac:dyDescent="0.35">
      <c r="A7" s="6" t="s">
        <v>12</v>
      </c>
      <c r="B7" s="6" t="s">
        <v>13</v>
      </c>
      <c r="C7" s="10">
        <v>0.91510000000000002</v>
      </c>
      <c r="D7" s="10">
        <v>0.84019999999999995</v>
      </c>
      <c r="E7" s="10">
        <v>0.76870000000000005</v>
      </c>
    </row>
    <row r="8" spans="1:5" x14ac:dyDescent="0.35">
      <c r="A8" s="11" t="s">
        <v>14</v>
      </c>
      <c r="B8" s="11" t="s">
        <v>15</v>
      </c>
      <c r="C8" s="12">
        <f>C7-C5</f>
        <v>0.373</v>
      </c>
      <c r="D8" s="12">
        <f>D7-D5</f>
        <v>0.30519999999999992</v>
      </c>
      <c r="E8" s="12">
        <f>E7-E5</f>
        <v>3.2200000000000006E-2</v>
      </c>
    </row>
    <row r="10" spans="1:5" ht="30" customHeight="1" x14ac:dyDescent="0.35">
      <c r="A10" s="1" t="s">
        <v>16</v>
      </c>
      <c r="B10" s="1"/>
      <c r="C10" s="1"/>
      <c r="D10" s="1"/>
      <c r="E10" s="1"/>
    </row>
    <row r="12" spans="1:5" ht="21.75" customHeight="1" x14ac:dyDescent="0.35">
      <c r="A12" s="20" t="s">
        <v>17</v>
      </c>
      <c r="B12" s="20"/>
      <c r="C12" s="20"/>
      <c r="D12" s="20"/>
      <c r="E12" s="20"/>
    </row>
    <row r="13" spans="1:5" ht="27.75" customHeight="1" x14ac:dyDescent="0.35">
      <c r="A13" s="8" t="s">
        <v>0</v>
      </c>
      <c r="B13" s="2" t="s">
        <v>18</v>
      </c>
      <c r="C13" s="2"/>
      <c r="D13" s="2"/>
      <c r="E13" s="2"/>
    </row>
    <row r="14" spans="1:5" ht="27.75" customHeight="1" x14ac:dyDescent="0.35">
      <c r="A14" s="8" t="s">
        <v>0</v>
      </c>
      <c r="B14" s="2" t="s">
        <v>19</v>
      </c>
      <c r="C14" s="2"/>
      <c r="D14" s="2"/>
      <c r="E14" s="2"/>
    </row>
    <row r="15" spans="1:5" ht="27.75" customHeight="1" x14ac:dyDescent="0.35">
      <c r="A15" s="8" t="s">
        <v>0</v>
      </c>
      <c r="B15" s="2" t="s">
        <v>20</v>
      </c>
      <c r="C15" s="2"/>
      <c r="D15" s="2"/>
      <c r="E15" s="2"/>
    </row>
    <row r="16" spans="1:5" ht="27.75" customHeight="1" x14ac:dyDescent="0.35">
      <c r="A16" s="8" t="s">
        <v>0</v>
      </c>
      <c r="B16" s="2" t="s">
        <v>21</v>
      </c>
      <c r="C16" s="2"/>
      <c r="D16" s="2"/>
      <c r="E16" s="2"/>
    </row>
    <row r="17" spans="1:5" ht="27.75" customHeight="1" x14ac:dyDescent="0.35">
      <c r="A17" s="8" t="s">
        <v>0</v>
      </c>
      <c r="B17" s="2" t="s">
        <v>22</v>
      </c>
      <c r="C17" s="2"/>
      <c r="D17" s="2"/>
      <c r="E17" s="2"/>
    </row>
    <row r="18" spans="1:5" ht="27.75" customHeight="1" x14ac:dyDescent="0.35">
      <c r="A18" s="8" t="s">
        <v>0</v>
      </c>
      <c r="B18" s="2" t="s">
        <v>23</v>
      </c>
      <c r="C18" s="2"/>
      <c r="D18" s="2"/>
      <c r="E18" s="2"/>
    </row>
  </sheetData>
  <mergeCells count="10">
    <mergeCell ref="B14:E14"/>
    <mergeCell ref="B15:E15"/>
    <mergeCell ref="B16:E16"/>
    <mergeCell ref="B17:E17"/>
    <mergeCell ref="B18:E18"/>
    <mergeCell ref="A1:E1"/>
    <mergeCell ref="A2:E2"/>
    <mergeCell ref="A10:E10"/>
    <mergeCell ref="A12:E12"/>
    <mergeCell ref="B13:E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9"/>
  <sheetViews>
    <sheetView zoomScale="175" zoomScaleNormal="175" workbookViewId="0">
      <selection activeCell="A13" sqref="A13:E13"/>
    </sheetView>
  </sheetViews>
  <sheetFormatPr defaultColWidth="8.6328125" defaultRowHeight="14.5" x14ac:dyDescent="0.35"/>
  <cols>
    <col min="1" max="1" width="22" customWidth="1"/>
    <col min="2" max="3" width="12" customWidth="1"/>
    <col min="4" max="4" width="18" customWidth="1"/>
    <col min="5" max="5" width="14" customWidth="1"/>
    <col min="6" max="9" width="10" customWidth="1"/>
  </cols>
  <sheetData>
    <row r="1" spans="1:9" ht="24" customHeight="1" x14ac:dyDescent="0.4">
      <c r="A1" s="21" t="s">
        <v>24</v>
      </c>
      <c r="B1" s="21"/>
      <c r="C1" s="21"/>
      <c r="D1" s="21"/>
      <c r="E1" s="21"/>
    </row>
    <row r="2" spans="1:9" x14ac:dyDescent="0.35">
      <c r="A2" s="3" t="s">
        <v>25</v>
      </c>
      <c r="B2" s="3"/>
      <c r="C2" s="3"/>
      <c r="D2" s="3"/>
      <c r="E2" s="3"/>
    </row>
    <row r="4" spans="1:9" ht="23.5" customHeight="1" x14ac:dyDescent="0.35">
      <c r="A4" s="4" t="s">
        <v>3</v>
      </c>
      <c r="B4" s="4" t="s">
        <v>26</v>
      </c>
      <c r="C4" s="4" t="s">
        <v>27</v>
      </c>
      <c r="D4" s="4" t="s">
        <v>28</v>
      </c>
      <c r="E4" s="4" t="s">
        <v>29</v>
      </c>
      <c r="F4" s="13" t="s">
        <v>30</v>
      </c>
      <c r="G4" s="14" t="s">
        <v>5</v>
      </c>
      <c r="H4" s="14" t="s">
        <v>6</v>
      </c>
      <c r="I4" s="14" t="s">
        <v>7</v>
      </c>
    </row>
    <row r="5" spans="1:9" x14ac:dyDescent="0.35">
      <c r="A5" s="6" t="s">
        <v>8</v>
      </c>
      <c r="B5" s="10">
        <f>MIN(G5:I5)</f>
        <v>0.53500000000000003</v>
      </c>
      <c r="C5" s="10">
        <f>MAX(G5:I5)</f>
        <v>0.73650000000000004</v>
      </c>
      <c r="D5" s="10">
        <f>C5-B5</f>
        <v>0.20150000000000001</v>
      </c>
      <c r="E5" s="10">
        <f>STDEV(G5:I5)</f>
        <v>0.11434160805819248</v>
      </c>
      <c r="G5" s="10">
        <v>0.54210000000000003</v>
      </c>
      <c r="H5" s="10">
        <v>0.53500000000000003</v>
      </c>
      <c r="I5" s="10">
        <v>0.73650000000000004</v>
      </c>
    </row>
    <row r="6" spans="1:9" x14ac:dyDescent="0.35">
      <c r="A6" s="6" t="s">
        <v>10</v>
      </c>
      <c r="B6" s="10">
        <f>MIN(G6:I6)</f>
        <v>0.56010000000000004</v>
      </c>
      <c r="C6" s="10">
        <f>MAX(G6:I6)</f>
        <v>0.75419999999999998</v>
      </c>
      <c r="D6" s="10">
        <f>C6-B6</f>
        <v>0.19409999999999994</v>
      </c>
      <c r="E6" s="10">
        <f>STDEV(G6:I6)</f>
        <v>0.10739371489989569</v>
      </c>
      <c r="G6" s="10">
        <v>0.56010000000000004</v>
      </c>
      <c r="H6" s="10">
        <v>0.75419999999999998</v>
      </c>
      <c r="I6" s="10">
        <v>0.73680000000000001</v>
      </c>
    </row>
    <row r="7" spans="1:9" x14ac:dyDescent="0.35">
      <c r="A7" s="6" t="s">
        <v>12</v>
      </c>
      <c r="B7" s="10">
        <f>MIN(G7:I7)</f>
        <v>0.76870000000000005</v>
      </c>
      <c r="C7" s="10">
        <f>MAX(G7:I7)</f>
        <v>0.91510000000000002</v>
      </c>
      <c r="D7" s="15">
        <f>C7-B7</f>
        <v>0.14639999999999997</v>
      </c>
      <c r="E7" s="15">
        <f>STDEV(G7:I7)</f>
        <v>7.3206579849992529E-2</v>
      </c>
      <c r="G7" s="10">
        <v>0.91510000000000002</v>
      </c>
      <c r="H7" s="10">
        <v>0.84019999999999995</v>
      </c>
      <c r="I7" s="10">
        <v>0.76870000000000005</v>
      </c>
    </row>
    <row r="9" spans="1:9" x14ac:dyDescent="0.35">
      <c r="A9" s="11" t="s">
        <v>31</v>
      </c>
      <c r="B9" s="16"/>
      <c r="C9" s="16"/>
      <c r="D9" s="17">
        <f>(D5-D7)/D5</f>
        <v>0.2734491315136478</v>
      </c>
      <c r="E9" s="17">
        <f>(E5-E7)/E5</f>
        <v>0.3597555509912444</v>
      </c>
    </row>
    <row r="11" spans="1:9" ht="30" customHeight="1" x14ac:dyDescent="0.35">
      <c r="A11" s="1" t="s">
        <v>32</v>
      </c>
      <c r="B11" s="1"/>
      <c r="C11" s="1"/>
      <c r="D11" s="1"/>
      <c r="E11" s="1"/>
    </row>
    <row r="13" spans="1:9" ht="21.75" customHeight="1" x14ac:dyDescent="0.35">
      <c r="A13" s="20" t="s">
        <v>17</v>
      </c>
      <c r="B13" s="20"/>
      <c r="C13" s="20"/>
      <c r="D13" s="20"/>
      <c r="E13" s="20"/>
    </row>
    <row r="14" spans="1:9" ht="27.75" customHeight="1" x14ac:dyDescent="0.35">
      <c r="A14" s="8" t="s">
        <v>0</v>
      </c>
      <c r="B14" s="2" t="s">
        <v>33</v>
      </c>
      <c r="C14" s="2"/>
      <c r="D14" s="2"/>
      <c r="E14" s="2"/>
    </row>
    <row r="15" spans="1:9" ht="27.75" customHeight="1" x14ac:dyDescent="0.35">
      <c r="A15" s="8" t="s">
        <v>0</v>
      </c>
      <c r="B15" s="2" t="s">
        <v>34</v>
      </c>
      <c r="C15" s="2"/>
      <c r="D15" s="2"/>
      <c r="E15" s="2"/>
    </row>
    <row r="16" spans="1:9" ht="27.75" customHeight="1" x14ac:dyDescent="0.35">
      <c r="A16" s="8" t="s">
        <v>0</v>
      </c>
      <c r="B16" s="2" t="s">
        <v>35</v>
      </c>
      <c r="C16" s="2"/>
      <c r="D16" s="2"/>
      <c r="E16" s="2"/>
    </row>
    <row r="17" spans="1:5" ht="27.75" customHeight="1" x14ac:dyDescent="0.35">
      <c r="A17" s="8" t="s">
        <v>0</v>
      </c>
      <c r="B17" s="2" t="s">
        <v>36</v>
      </c>
      <c r="C17" s="2"/>
      <c r="D17" s="2"/>
      <c r="E17" s="2"/>
    </row>
    <row r="18" spans="1:5" ht="27.75" customHeight="1" x14ac:dyDescent="0.35">
      <c r="A18" s="8" t="s">
        <v>0</v>
      </c>
      <c r="B18" s="2" t="s">
        <v>37</v>
      </c>
      <c r="C18" s="2"/>
      <c r="D18" s="2"/>
      <c r="E18" s="2"/>
    </row>
    <row r="19" spans="1:5" ht="27.75" customHeight="1" x14ac:dyDescent="0.35">
      <c r="A19" s="8" t="s">
        <v>0</v>
      </c>
      <c r="B19" s="2" t="s">
        <v>38</v>
      </c>
      <c r="C19" s="2"/>
      <c r="D19" s="2"/>
      <c r="E19" s="2"/>
    </row>
  </sheetData>
  <mergeCells count="10">
    <mergeCell ref="B15:E15"/>
    <mergeCell ref="B16:E16"/>
    <mergeCell ref="B17:E17"/>
    <mergeCell ref="B18:E18"/>
    <mergeCell ref="B19:E19"/>
    <mergeCell ref="A1:E1"/>
    <mergeCell ref="A2:E2"/>
    <mergeCell ref="A11:E11"/>
    <mergeCell ref="A13:E13"/>
    <mergeCell ref="B14:E1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8"/>
  <sheetViews>
    <sheetView tabSelected="1" zoomScale="160" zoomScaleNormal="160" workbookViewId="0">
      <selection activeCell="A22" sqref="A22:F22"/>
    </sheetView>
  </sheetViews>
  <sheetFormatPr defaultColWidth="8.6328125" defaultRowHeight="14.5" x14ac:dyDescent="0.35"/>
  <cols>
    <col min="1" max="1" width="12" customWidth="1"/>
    <col min="2" max="2" width="22" customWidth="1"/>
    <col min="3" max="4" width="8" customWidth="1"/>
    <col min="5" max="5" width="14" customWidth="1"/>
    <col min="6" max="6" width="22" customWidth="1"/>
  </cols>
  <sheetData>
    <row r="1" spans="1:6" ht="24" customHeight="1" x14ac:dyDescent="0.4">
      <c r="A1" s="21" t="s">
        <v>39</v>
      </c>
      <c r="B1" s="21"/>
      <c r="C1" s="21"/>
      <c r="D1" s="21"/>
      <c r="E1" s="21"/>
      <c r="F1" s="21"/>
    </row>
    <row r="2" spans="1:6" x14ac:dyDescent="0.35">
      <c r="A2" s="3" t="s">
        <v>40</v>
      </c>
      <c r="B2" s="3"/>
      <c r="C2" s="3"/>
      <c r="D2" s="3"/>
      <c r="E2" s="3"/>
      <c r="F2" s="3"/>
    </row>
    <row r="4" spans="1:6" ht="28" x14ac:dyDescent="0.35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4" t="s">
        <v>46</v>
      </c>
    </row>
    <row r="5" spans="1:6" x14ac:dyDescent="0.35">
      <c r="A5" s="14" t="s">
        <v>5</v>
      </c>
      <c r="B5" s="7" t="s">
        <v>47</v>
      </c>
      <c r="C5" s="5">
        <v>37</v>
      </c>
      <c r="D5" s="5">
        <v>103</v>
      </c>
      <c r="E5" s="5" t="s">
        <v>48</v>
      </c>
      <c r="F5" s="18" t="s">
        <v>49</v>
      </c>
    </row>
    <row r="6" spans="1:6" x14ac:dyDescent="0.35">
      <c r="A6" s="14" t="s">
        <v>5</v>
      </c>
      <c r="B6" s="7" t="s">
        <v>50</v>
      </c>
      <c r="C6" s="5">
        <v>94</v>
      </c>
      <c r="D6" s="5">
        <v>828</v>
      </c>
      <c r="E6" s="5" t="s">
        <v>51</v>
      </c>
      <c r="F6" s="18" t="s">
        <v>49</v>
      </c>
    </row>
    <row r="7" spans="1:6" x14ac:dyDescent="0.35">
      <c r="A7" s="14" t="s">
        <v>5</v>
      </c>
      <c r="B7" s="7" t="s">
        <v>52</v>
      </c>
      <c r="C7" s="5">
        <v>93</v>
      </c>
      <c r="D7" s="5">
        <v>893</v>
      </c>
      <c r="E7" s="5" t="s">
        <v>51</v>
      </c>
      <c r="F7" s="18" t="s">
        <v>49</v>
      </c>
    </row>
    <row r="8" spans="1:6" x14ac:dyDescent="0.35">
      <c r="A8" s="14" t="s">
        <v>6</v>
      </c>
      <c r="B8" s="7" t="s">
        <v>47</v>
      </c>
      <c r="C8" s="5">
        <v>89</v>
      </c>
      <c r="D8" s="5">
        <v>1300</v>
      </c>
      <c r="E8" s="5" t="s">
        <v>51</v>
      </c>
      <c r="F8" s="18" t="s">
        <v>49</v>
      </c>
    </row>
    <row r="9" spans="1:6" x14ac:dyDescent="0.35">
      <c r="A9" s="14" t="s">
        <v>6</v>
      </c>
      <c r="B9" s="7" t="s">
        <v>50</v>
      </c>
      <c r="C9" s="5">
        <v>110</v>
      </c>
      <c r="D9" s="5">
        <v>273</v>
      </c>
      <c r="E9" s="5" t="s">
        <v>53</v>
      </c>
      <c r="F9" s="18" t="s">
        <v>49</v>
      </c>
    </row>
    <row r="10" spans="1:6" x14ac:dyDescent="0.35">
      <c r="A10" s="14" t="s">
        <v>6</v>
      </c>
      <c r="B10" s="7" t="s">
        <v>52</v>
      </c>
      <c r="C10" s="5">
        <v>98</v>
      </c>
      <c r="D10" s="5">
        <v>1472</v>
      </c>
      <c r="E10" s="5" t="s">
        <v>51</v>
      </c>
      <c r="F10" s="18" t="s">
        <v>49</v>
      </c>
    </row>
    <row r="11" spans="1:6" x14ac:dyDescent="0.35">
      <c r="A11" s="14" t="s">
        <v>7</v>
      </c>
      <c r="B11" s="7" t="s">
        <v>47</v>
      </c>
      <c r="C11" s="5">
        <v>51</v>
      </c>
      <c r="D11" s="5">
        <v>69</v>
      </c>
      <c r="E11" s="5" t="s">
        <v>54</v>
      </c>
      <c r="F11" s="19" t="s">
        <v>55</v>
      </c>
    </row>
    <row r="12" spans="1:6" x14ac:dyDescent="0.35">
      <c r="A12" s="14" t="s">
        <v>7</v>
      </c>
      <c r="B12" s="7" t="s">
        <v>50</v>
      </c>
      <c r="C12" s="5">
        <v>114</v>
      </c>
      <c r="D12" s="5">
        <v>124</v>
      </c>
      <c r="E12" s="5" t="s">
        <v>56</v>
      </c>
      <c r="F12" s="19" t="s">
        <v>55</v>
      </c>
    </row>
    <row r="13" spans="1:6" x14ac:dyDescent="0.35">
      <c r="A13" s="14" t="s">
        <v>7</v>
      </c>
      <c r="B13" s="7" t="s">
        <v>52</v>
      </c>
      <c r="C13" s="5">
        <v>111</v>
      </c>
      <c r="D13" s="5">
        <v>139</v>
      </c>
      <c r="E13" s="5" t="s">
        <v>57</v>
      </c>
      <c r="F13" s="19" t="s">
        <v>55</v>
      </c>
    </row>
    <row r="15" spans="1:6" ht="30" customHeight="1" x14ac:dyDescent="0.35">
      <c r="A15" s="1" t="s">
        <v>58</v>
      </c>
      <c r="B15" s="1"/>
      <c r="C15" s="1"/>
      <c r="D15" s="1"/>
      <c r="E15" s="1"/>
      <c r="F15" s="1"/>
    </row>
    <row r="17" spans="1:6" ht="21.75" customHeight="1" x14ac:dyDescent="0.35">
      <c r="A17" s="20" t="s">
        <v>59</v>
      </c>
      <c r="B17" s="20"/>
      <c r="C17" s="20"/>
      <c r="D17" s="20"/>
      <c r="E17" s="20"/>
      <c r="F17" s="20"/>
    </row>
    <row r="18" spans="1:6" ht="53.5" customHeight="1" x14ac:dyDescent="0.35">
      <c r="A18" s="9" t="s">
        <v>69</v>
      </c>
      <c r="B18" s="2" t="s">
        <v>60</v>
      </c>
      <c r="C18" s="2"/>
      <c r="D18" s="2"/>
      <c r="E18" s="2"/>
      <c r="F18" s="2"/>
    </row>
    <row r="19" spans="1:6" ht="55.5" customHeight="1" x14ac:dyDescent="0.35">
      <c r="A19" s="9" t="s">
        <v>61</v>
      </c>
      <c r="B19" s="2" t="s">
        <v>62</v>
      </c>
      <c r="C19" s="2"/>
      <c r="D19" s="2"/>
      <c r="E19" s="2"/>
      <c r="F19" s="2"/>
    </row>
    <row r="20" spans="1:6" ht="79.5" customHeight="1" x14ac:dyDescent="0.35">
      <c r="A20" s="9" t="s">
        <v>70</v>
      </c>
      <c r="B20" s="2" t="s">
        <v>7</v>
      </c>
      <c r="C20" s="2"/>
      <c r="D20" s="2"/>
      <c r="E20" s="2"/>
      <c r="F20" s="2"/>
    </row>
    <row r="22" spans="1:6" ht="21.75" customHeight="1" x14ac:dyDescent="0.35">
      <c r="A22" s="20" t="s">
        <v>17</v>
      </c>
      <c r="B22" s="20"/>
      <c r="C22" s="20"/>
      <c r="D22" s="20"/>
      <c r="E22" s="20"/>
      <c r="F22" s="20"/>
    </row>
    <row r="23" spans="1:6" ht="27.75" customHeight="1" x14ac:dyDescent="0.35">
      <c r="A23" s="8" t="s">
        <v>0</v>
      </c>
      <c r="B23" s="2" t="s">
        <v>63</v>
      </c>
      <c r="C23" s="2"/>
      <c r="D23" s="2"/>
      <c r="E23" s="2"/>
      <c r="F23" s="2"/>
    </row>
    <row r="24" spans="1:6" ht="27.75" customHeight="1" x14ac:dyDescent="0.35">
      <c r="A24" s="8" t="s">
        <v>0</v>
      </c>
      <c r="B24" s="2" t="s">
        <v>64</v>
      </c>
      <c r="C24" s="2"/>
      <c r="D24" s="2"/>
      <c r="E24" s="2"/>
      <c r="F24" s="2"/>
    </row>
    <row r="25" spans="1:6" ht="27.75" customHeight="1" x14ac:dyDescent="0.35">
      <c r="A25" s="8" t="s">
        <v>0</v>
      </c>
      <c r="B25" s="2" t="s">
        <v>65</v>
      </c>
      <c r="C25" s="2"/>
      <c r="D25" s="2"/>
      <c r="E25" s="2"/>
      <c r="F25" s="2"/>
    </row>
    <row r="26" spans="1:6" ht="27.75" customHeight="1" x14ac:dyDescent="0.35">
      <c r="A26" s="8" t="s">
        <v>0</v>
      </c>
      <c r="B26" s="2" t="s">
        <v>66</v>
      </c>
      <c r="C26" s="2"/>
      <c r="D26" s="2"/>
      <c r="E26" s="2"/>
      <c r="F26" s="2"/>
    </row>
    <row r="27" spans="1:6" ht="27.75" customHeight="1" x14ac:dyDescent="0.35">
      <c r="A27" s="8" t="s">
        <v>0</v>
      </c>
      <c r="B27" s="2" t="s">
        <v>67</v>
      </c>
      <c r="C27" s="2"/>
      <c r="D27" s="2"/>
      <c r="E27" s="2"/>
      <c r="F27" s="2"/>
    </row>
    <row r="28" spans="1:6" ht="27.75" customHeight="1" x14ac:dyDescent="0.35">
      <c r="A28" s="8" t="s">
        <v>0</v>
      </c>
      <c r="B28" s="2" t="s">
        <v>68</v>
      </c>
      <c r="C28" s="2"/>
      <c r="D28" s="2"/>
      <c r="E28" s="2"/>
      <c r="F28" s="2"/>
    </row>
  </sheetData>
  <mergeCells count="14">
    <mergeCell ref="B25:F25"/>
    <mergeCell ref="B26:F26"/>
    <mergeCell ref="B27:F27"/>
    <mergeCell ref="B28:F28"/>
    <mergeCell ref="B19:F19"/>
    <mergeCell ref="B20:F20"/>
    <mergeCell ref="A22:F22"/>
    <mergeCell ref="B23:F23"/>
    <mergeCell ref="B24:F24"/>
    <mergeCell ref="A1:F1"/>
    <mergeCell ref="A2:F2"/>
    <mergeCell ref="A15:F15"/>
    <mergeCell ref="A17:F17"/>
    <mergeCell ref="B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2. Performance (Table A)</vt:lpstr>
      <vt:lpstr>3. Variability (Table B)</vt:lpstr>
      <vt:lpstr>4. McNemar (Table C)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khalid althobiti</cp:lastModifiedBy>
  <cp:revision>0</cp:revision>
  <dcterms:created xsi:type="dcterms:W3CDTF">2026-05-31T17:57:20Z</dcterms:created>
  <dcterms:modified xsi:type="dcterms:W3CDTF">2026-06-06T12:26:45Z</dcterms:modified>
  <dc:language>en-US</dc:language>
</cp:coreProperties>
</file>